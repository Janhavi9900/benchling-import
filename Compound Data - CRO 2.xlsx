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C:\Users\janhavi.thukkaram\Downloads\Benchling_Import\Benchling_Import\Benchling_Import\"/>
    </mc:Choice>
  </mc:AlternateContent>
  <xr:revisionPtr revIDLastSave="14" documentId="8_{F82815CE-13AF-44B9-ABDF-97757AE41364}" xr6:coauthVersionLast="47" xr6:coauthVersionMax="47" xr10:uidLastSave="{755951C2-D29A-4EFA-9AD6-A432FECADD32}"/>
  <bookViews>
    <workbookView xWindow="-110" yWindow="-110" windowWidth="19420" windowHeight="10300" xr2:uid="{3A1C9C81-AA62-40A9-8F0C-B6B348C98D2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a="1"/>
  <c r="F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tc={6FB57FC0-4E4E-49C1-B954-1F40AAFDD996}</author>
  </authors>
  <commentList>
    <comment ref="B5" authorId="0" shapeId="0" xr:uid="{6FB57FC0-4E4E-49C1-B954-1F40AAFDD996}">
      <text>
        <t>[Threaded comment]
Your version of Excel allows you to read this threaded comment; however, any edits to it will get removed if the file is opened in a newer version of Excel. Learn more: https://go.microsoft.com/fwlink/?linkid=870924
Comment:
    compound data received from Amgen,CRO name  identified with CID suffix .This data requires consolidation and standardization, missing smiles needs to be filled using compound name info. Hydrophobity value units are different and need to be standardized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<sst xmlns="http://schemas.openxmlformats.org/spreadsheetml/2006/main" count="71" uniqueCount="57">
  <si>
    <t>RESULT_TAG</t>
  </si>
  <si>
    <t>ID</t>
  </si>
  <si>
    <t>CID</t>
  </si>
  <si>
    <t>COMPOUND_NAME</t>
  </si>
  <si>
    <t>DATASOURCE_SMILES</t>
  </si>
  <si>
    <t>ACTIVITY_OUTCOME</t>
  </si>
  <si>
    <t>ACTIVITY_SCORE</t>
  </si>
  <si>
    <t>mol_wt</t>
  </si>
  <si>
    <t>Hydrophobicity</t>
  </si>
  <si>
    <t>conc</t>
  </si>
  <si>
    <t>giprct</t>
  </si>
  <si>
    <t>nbrtest</t>
  </si>
  <si>
    <t>range</t>
  </si>
  <si>
    <t>unit</t>
  </si>
  <si>
    <t>RESULT_TYPE</t>
  </si>
  <si>
    <t>FLOAT</t>
  </si>
  <si>
    <t>INTEGER</t>
  </si>
  <si>
    <t>RESULT_DESCR</t>
  </si>
  <si>
    <t>concentration tested, unit: micromolar</t>
  </si>
  <si>
    <t>Inhibiton of growth compared to untreated controls (%)</t>
  </si>
  <si>
    <t>Number of tests averaged for this data point</t>
  </si>
  <si>
    <t>Range of values for this data point</t>
  </si>
  <si>
    <t>Date</t>
  </si>
  <si>
    <t>MICROMOLAR</t>
  </si>
  <si>
    <t xml:space="preserve"> 2024‑01‑12</t>
  </si>
  <si>
    <t>AM_3875946</t>
  </si>
  <si>
    <t>(2S)-2-[[(2-aminopropanoyl)amino]-4-methylpentanamido]propanamide</t>
  </si>
  <si>
    <t>CCC(C)CC(NC(=O)C(C)N)C(=O)N[C@@H](C)C(=O)N</t>
  </si>
  <si>
    <t>Inactive</t>
  </si>
  <si>
    <t>g</t>
  </si>
  <si>
    <t>AM_24194250</t>
  </si>
  <si>
    <t>N-[4-methyl-2-oxo-1,2-dihydropyridin-3-yl]-2-aminopropanamide</t>
  </si>
  <si>
    <t>CC1=CC(=O)NC(=O)C=C1NC(=O)C(C)N</t>
  </si>
  <si>
    <t>2024‑011‑12</t>
  </si>
  <si>
    <t>AM_118408</t>
  </si>
  <si>
    <t>1,3-dihydro-2H-benzimidazol-2-one</t>
  </si>
  <si>
    <t>O=C1NCC2=CC=CC=C2N1</t>
  </si>
  <si>
    <t>mg</t>
  </si>
  <si>
    <t>2024‑013‑12</t>
  </si>
  <si>
    <t>AM_54607054</t>
  </si>
  <si>
    <t>2-methylquinazolin-4(3H)-one</t>
  </si>
  <si>
    <t>active</t>
  </si>
  <si>
    <t>2024‑014‑12</t>
  </si>
  <si>
    <t>AM_6099</t>
  </si>
  <si>
    <t>2-oxo-2H-chromeno[3,4-c]quinolin-5-one</t>
  </si>
  <si>
    <t>O=C1OC2=C(C=CC=C2)C3=C1C=CC(=O)N3</t>
  </si>
  <si>
    <t>2024‑015‑12</t>
  </si>
  <si>
    <t>AM_309348</t>
  </si>
  <si>
    <t>7-hydroxy-2-oxo-2H-chromeno[6,5-c]chromen-6-one</t>
  </si>
  <si>
    <t>CC1=CC2=C(C=C1O)C(=O)OC3=C2C=CC(=O)O3</t>
  </si>
  <si>
    <t>2024‑016‑12</t>
  </si>
  <si>
    <t>AM_16888</t>
  </si>
  <si>
    <t>(2S)-2-[[(2-methylpropanoyl)amino]-4-methylpentanamido]propanamide</t>
  </si>
  <si>
    <t>CCC(C)C[C@H](NC(=O)C(C)C)C(=O)N[C@@H](C)C(=O)N</t>
  </si>
  <si>
    <t>2026‑01‑12</t>
  </si>
  <si>
    <t>AM_135489875</t>
  </si>
  <si>
    <t>tert-butyl N-[4-methyl-2-oxo-1,2-dihydropyridin-3-yl]carbamate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</si>
</sst>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8"/>
      <name val="Aptos Narrow"/>
      <family val="2"/>
      <scheme val="minor"/>
    </font>
    <font>
      <sz val="11"/>
      <color rgb="FF000000"/>
      <name val="Calibri"/>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horizontal="left" vertical="top" wrapText="1"/>
    </xf>
    <xf numFmtId="0" fontId="0" fillId="0" borderId="0" xfId="0" applyAlignment="1">
      <alignment vertical="center" wrapText="1"/>
    </xf>
    <xf numFmtId="0" fontId="0" fillId="2" borderId="0" xfId="0" applyFill="1" applyAlignment="1">
      <alignmen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10" Type="http://schemas.openxmlformats.org/officeDocument/2006/relationships/customXml" Target="../customXml/item3.xml"/><Relationship Id="rId4" Type="http://schemas.openxmlformats.org/officeDocument/2006/relationships/sharedStrings" Target="sharedString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anhavi Thukkaram" id="{79E1C2D9-02F2-4313-80BF-88D55FFF920D}" userId="S::janhavi.thukkaram@Excelra.com::349b7386-5c17-4987-938e-401c6701b4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6-02-03T04:39:07.27" personId="{79E1C2D9-02F2-4313-80BF-88D55FFF920D}" id="{6FB57FC0-4E4E-49C1-B954-1F40AAFDD996}">
    <text>compound data received from Amgen,CRO name  identified with CID suffix .This data requires consolidation and standardization, missing smiles needs to be filled using compound name info. Hydrophobity value units are different and need to be standardized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911DF-CB68-46D7-B9E9-74133E0F224E}">
  <dimension ref="A1:N12"/>
  <sheetViews>
    <sheetView tabSelected="1" topLeftCell="D1" workbookViewId="0">
      <selection activeCell="F10" sqref="F10"/>
    </sheetView>
  </sheetViews>
  <sheetFormatPr defaultRowHeight="14.45"/>
  <cols>
    <col min="1" max="1" width="28.42578125" customWidth="1"/>
    <col min="2" max="2" width="14.28515625" customWidth="1"/>
    <col min="3" max="3" width="18.85546875" customWidth="1"/>
    <col min="4" max="4" width="59.85546875" bestFit="1" customWidth="1"/>
    <col min="5" max="5" width="122.7109375" bestFit="1" customWidth="1"/>
    <col min="6" max="6" width="17.5703125" bestFit="1" customWidth="1"/>
    <col min="7" max="7" width="14.5703125" bestFit="1" customWidth="1"/>
    <col min="8" max="8" width="12.140625" bestFit="1" customWidth="1"/>
    <col min="9" max="9" width="34.85546875" bestFit="1" customWidth="1"/>
  </cols>
  <sheetData>
    <row r="1" spans="1:14">
      <c r="A1" t="s">
        <v>0</v>
      </c>
      <c r="B1" t="s">
        <v>1</v>
      </c>
      <c r="C1" t="s">
        <v>2</v>
      </c>
      <c r="D1" s="2" t="s">
        <v>3</v>
      </c>
      <c r="E1" t="s">
        <v>4</v>
      </c>
      <c r="F1" t="s">
        <v>5</v>
      </c>
      <c r="G1" t="s">
        <v>6</v>
      </c>
      <c r="H1" t="s">
        <v>7</v>
      </c>
      <c r="I1" t="s">
        <v>8</v>
      </c>
      <c r="J1" t="s">
        <v>9</v>
      </c>
      <c r="K1" t="s">
        <v>10</v>
      </c>
      <c r="L1" t="s">
        <v>11</v>
      </c>
      <c r="M1" t="s">
        <v>12</v>
      </c>
      <c r="N1" t="s">
        <v>13</v>
      </c>
    </row>
    <row r="2" spans="1:14">
      <c r="A2" t="s">
        <v>14</v>
      </c>
      <c r="I2" t="s">
        <v>15</v>
      </c>
      <c r="J2" t="s">
        <v>15</v>
      </c>
      <c r="K2" t="s">
        <v>16</v>
      </c>
      <c r="L2" t="s">
        <v>15</v>
      </c>
    </row>
    <row r="3" spans="1:14">
      <c r="A3" t="s">
        <v>17</v>
      </c>
      <c r="I3" t="s">
        <v>18</v>
      </c>
      <c r="J3" t="s">
        <v>19</v>
      </c>
      <c r="K3" t="s">
        <v>20</v>
      </c>
      <c r="L3" t="s">
        <v>21</v>
      </c>
    </row>
    <row r="4" spans="1:14">
      <c r="A4" t="s">
        <v>22</v>
      </c>
      <c r="I4" t="s">
        <v>23</v>
      </c>
    </row>
    <row r="5" spans="1:14">
      <c r="A5" s="1" t="s">
        <v>24</v>
      </c>
      <c r="B5" s="1">
        <v>570102</v>
      </c>
      <c r="C5" s="1" t="s">
        <v>25</v>
      </c>
      <c r="D5" s="4" t="s">
        <v>26</v>
      </c>
      <c r="E5" s="5" t="s">
        <v>27</v>
      </c>
      <c r="F5" s="1" t="s">
        <v>28</v>
      </c>
      <c r="G5" s="1"/>
      <c r="H5" s="5">
        <v>712</v>
      </c>
      <c r="I5">
        <v>3.12</v>
      </c>
      <c r="J5" s="1">
        <v>0.5</v>
      </c>
      <c r="K5" s="1">
        <v>-295</v>
      </c>
      <c r="L5" s="1">
        <v>2</v>
      </c>
      <c r="M5" s="1">
        <v>581</v>
      </c>
      <c r="N5" s="1" t="s">
        <v>29</v>
      </c>
    </row>
    <row r="6" spans="1:14">
      <c r="A6" s="1" t="s">
        <v>24</v>
      </c>
      <c r="B6">
        <v>562226</v>
      </c>
      <c r="C6" t="s">
        <v>30</v>
      </c>
      <c r="D6" s="3" t="s">
        <v>31</v>
      </c>
      <c r="E6" s="5" t="s">
        <v>32</v>
      </c>
      <c r="F6" t="s">
        <v>28</v>
      </c>
      <c r="H6" s="5">
        <v>713</v>
      </c>
      <c r="I6">
        <v>1.89</v>
      </c>
      <c r="J6">
        <v>0.5</v>
      </c>
      <c r="K6">
        <v>-203</v>
      </c>
      <c r="L6">
        <v>2</v>
      </c>
      <c r="M6">
        <v>397</v>
      </c>
      <c r="N6" t="s">
        <v>29</v>
      </c>
    </row>
    <row r="7" spans="1:14">
      <c r="A7" t="s">
        <v>33</v>
      </c>
      <c r="B7">
        <v>577052</v>
      </c>
      <c r="C7" t="s">
        <v>34</v>
      </c>
      <c r="D7" s="3" t="s">
        <v>35</v>
      </c>
      <c r="E7" s="5" t="s">
        <v>36</v>
      </c>
      <c r="F7" t="s">
        <v>28</v>
      </c>
      <c r="G7">
        <v>1</v>
      </c>
      <c r="H7" s="5">
        <v>714</v>
      </c>
      <c r="I7">
        <v>2.57</v>
      </c>
      <c r="J7">
        <v>50</v>
      </c>
      <c r="K7">
        <v>-191.7</v>
      </c>
      <c r="L7">
        <v>2</v>
      </c>
      <c r="M7">
        <v>2.4</v>
      </c>
      <c r="N7" t="s">
        <v>37</v>
      </c>
    </row>
    <row r="8" spans="1:14">
      <c r="A8" t="s">
        <v>38</v>
      </c>
      <c r="B8">
        <v>566006</v>
      </c>
      <c r="C8" t="s">
        <v>39</v>
      </c>
      <c r="D8" s="3" t="s">
        <v>40</v>
      </c>
      <c r="E8" s="5"/>
      <c r="F8" t="s">
        <v>41</v>
      </c>
      <c r="H8" s="5">
        <v>715</v>
      </c>
      <c r="I8">
        <v>2.73</v>
      </c>
      <c r="J8">
        <v>0.5</v>
      </c>
      <c r="K8">
        <v>-158</v>
      </c>
      <c r="L8">
        <v>2</v>
      </c>
      <c r="M8">
        <v>314</v>
      </c>
      <c r="N8" t="s">
        <v>29</v>
      </c>
    </row>
    <row r="9" spans="1:14">
      <c r="A9" t="s">
        <v>42</v>
      </c>
      <c r="B9">
        <v>488109</v>
      </c>
      <c r="C9" t="s">
        <v>43</v>
      </c>
      <c r="D9" s="3" t="s">
        <v>44</v>
      </c>
      <c r="E9" s="5" t="s">
        <v>45</v>
      </c>
      <c r="F9" t="s">
        <v>28</v>
      </c>
      <c r="G9">
        <v>45</v>
      </c>
      <c r="H9" s="5">
        <v>716</v>
      </c>
      <c r="I9">
        <v>2.66</v>
      </c>
      <c r="J9">
        <v>50</v>
      </c>
      <c r="K9">
        <v>-147</v>
      </c>
      <c r="L9">
        <v>2</v>
      </c>
      <c r="M9">
        <v>8.1999999999999993</v>
      </c>
      <c r="N9" t="s">
        <v>37</v>
      </c>
    </row>
    <row r="10" spans="1:14">
      <c r="A10" t="s">
        <v>46</v>
      </c>
      <c r="C10" t="s">
        <v>47</v>
      </c>
      <c r="D10" s="3" t="s">
        <v>48</v>
      </c>
      <c r="E10" s="5" t="s">
        <v>49</v>
      </c>
      <c r="F10" t="e" cm="1">
        <f t="array" aca="1" ref="F10" ca="1">+ve</f>
        <v>#NAME?</v>
      </c>
      <c r="H10" s="5">
        <v>717</v>
      </c>
      <c r="I10">
        <v>3.43</v>
      </c>
      <c r="J10">
        <v>0.5</v>
      </c>
      <c r="K10">
        <v>-139</v>
      </c>
      <c r="L10">
        <v>2</v>
      </c>
      <c r="M10">
        <v>282</v>
      </c>
      <c r="N10" t="s">
        <v>29</v>
      </c>
    </row>
    <row r="11" spans="1:14">
      <c r="A11" t="s">
        <v>50</v>
      </c>
      <c r="B11">
        <v>577919</v>
      </c>
      <c r="C11" t="s">
        <v>51</v>
      </c>
      <c r="D11" s="3" t="s">
        <v>52</v>
      </c>
      <c r="E11" s="5" t="s">
        <v>53</v>
      </c>
      <c r="F11" t="s">
        <v>28</v>
      </c>
      <c r="G11">
        <v>65</v>
      </c>
      <c r="H11" s="5">
        <v>718</v>
      </c>
      <c r="I11">
        <v>3.08</v>
      </c>
      <c r="J11">
        <v>50</v>
      </c>
      <c r="K11">
        <v>-127.2</v>
      </c>
      <c r="L11">
        <v>2</v>
      </c>
      <c r="M11">
        <v>42.8</v>
      </c>
      <c r="N11" t="s">
        <v>37</v>
      </c>
    </row>
    <row r="12" spans="1:14">
      <c r="A12" t="s">
        <v>54</v>
      </c>
      <c r="C12" t="s">
        <v>55</v>
      </c>
      <c r="D12" s="3" t="s">
        <v>56</v>
      </c>
      <c r="E12" s="5"/>
      <c r="F12" t="s">
        <v>28</v>
      </c>
      <c r="G12">
        <v>75</v>
      </c>
      <c r="H12" s="5">
        <v>719</v>
      </c>
      <c r="I12">
        <v>1.96</v>
      </c>
      <c r="J12">
        <v>50</v>
      </c>
      <c r="K12">
        <v>-117</v>
      </c>
      <c r="L12">
        <v>2</v>
      </c>
      <c r="M12">
        <v>122.6</v>
      </c>
      <c r="N12" t="s">
        <v>29</v>
      </c>
    </row>
  </sheetData>
  <phoneticPr fontId="1"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5E348F29220445AB0E5D294A9AFC87" ma:contentTypeVersion="14" ma:contentTypeDescription="Create a new document." ma:contentTypeScope="" ma:versionID="eacf99ba18e75b7e56ed631ab21356af">
  <xsd:schema xmlns:xsd="http://www.w3.org/2001/XMLSchema" xmlns:xs="http://www.w3.org/2001/XMLSchema" xmlns:p="http://schemas.microsoft.com/office/2006/metadata/properties" xmlns:ns2="7ec6088c-c16b-4532-ad02-694b7aa86331" xmlns:ns3="49132f72-0bda-4555-b893-7d5558ba20be" targetNamespace="http://schemas.microsoft.com/office/2006/metadata/properties" ma:root="true" ma:fieldsID="88f95ca408001d28d50208d9053e4f00" ns2:_="" ns3:_="">
    <xsd:import namespace="7ec6088c-c16b-4532-ad02-694b7aa86331"/>
    <xsd:import namespace="49132f72-0bda-4555-b893-7d5558ba20b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c6088c-c16b-4532-ad02-694b7aa863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4e2eea9-0e5a-4d02-b426-69eeb2e7f88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132f72-0bda-4555-b893-7d5558ba20b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d373e84-3ca4-4c61-8e86-a52d28ca9d77}" ma:internalName="TaxCatchAll" ma:showField="CatchAllData" ma:web="49132f72-0bda-4555-b893-7d5558ba20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c6088c-c16b-4532-ad02-694b7aa86331">
      <Terms xmlns="http://schemas.microsoft.com/office/infopath/2007/PartnerControls"/>
    </lcf76f155ced4ddcb4097134ff3c332f>
    <TaxCatchAll xmlns="49132f72-0bda-4555-b893-7d5558ba20be" xsi:nil="true"/>
  </documentManagement>
</p:properties>
</file>

<file path=customXml/itemProps1.xml><?xml version="1.0" encoding="utf-8"?>
<ds:datastoreItem xmlns:ds="http://schemas.openxmlformats.org/officeDocument/2006/customXml" ds:itemID="{78B7DCE1-D5BB-4A9A-8686-4DA1BA643183}"/>
</file>

<file path=customXml/itemProps2.xml><?xml version="1.0" encoding="utf-8"?>
<ds:datastoreItem xmlns:ds="http://schemas.openxmlformats.org/officeDocument/2006/customXml" ds:itemID="{CAA3DAC5-EB84-472F-B594-7DB2C84BC3D5}"/>
</file>

<file path=customXml/itemProps3.xml><?xml version="1.0" encoding="utf-8"?>
<ds:datastoreItem xmlns:ds="http://schemas.openxmlformats.org/officeDocument/2006/customXml" ds:itemID="{8F3A0FBB-03FB-441C-9DC6-462B4C6E3F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Janhavi Thukkaram</dc:creator>
  <cp:keywords/>
  <dc:description/>
  <cp:lastModifiedBy>Janhavi Thukkaram</cp:lastModifiedBy>
  <cp:revision/>
  <dcterms:created xsi:type="dcterms:W3CDTF">2026-02-03T04:16:16Z</dcterms:created>
  <dcterms:modified xsi:type="dcterms:W3CDTF">2026-03-30T10:21:04Z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0x010100C55E348F29220445AB0E5D294A9AFC87</vt:lpwstr>
  </property>
  <property fmtid="{D5CDD505-2E9C-101B-9397-08002B2CF9AE}" pid="3" name="MediaServiceImageTags">
    <vt:lpwstr/>
  </property>
</Properties>
</file>